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502" codeName="{00000000-0000-0000-0000-000000000000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/Users/cronos/Documents/OneDrive/0 - Perso/"/>
    </mc:Choice>
  </mc:AlternateContent>
  <bookViews>
    <workbookView xWindow="0" yWindow="460" windowWidth="25600" windowHeight="14180" tabRatio="500"/>
  </bookViews>
  <sheets>
    <sheet name="Sheet2" sheetId="2" r:id="rId1"/>
    <sheet name="Calc" sheetId="1" r:id="rId2"/>
  </sheets>
  <calcPr calcId="15000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J14" i="1" l="1"/>
  <c r="J10" i="1"/>
  <c r="J11" i="1"/>
  <c r="J12" i="1"/>
  <c r="J13" i="1"/>
  <c r="J15" i="1"/>
  <c r="J16" i="1"/>
  <c r="K14" i="1"/>
  <c r="E6" i="2"/>
  <c r="K15" i="1"/>
  <c r="E7" i="2"/>
  <c r="K16" i="1"/>
  <c r="E8" i="2"/>
  <c r="K10" i="1"/>
  <c r="K11" i="1"/>
  <c r="E3" i="2"/>
  <c r="K12" i="1"/>
  <c r="E4" i="2"/>
  <c r="K13" i="1"/>
  <c r="E5" i="2"/>
  <c r="E2" i="2"/>
  <c r="C16" i="1"/>
  <c r="C15" i="1"/>
  <c r="B17" i="1"/>
  <c r="C17" i="1"/>
  <c r="B18" i="1"/>
  <c r="C18" i="1"/>
  <c r="B19" i="1"/>
  <c r="C19" i="1"/>
  <c r="D16" i="1"/>
  <c r="C12" i="2"/>
  <c r="D17" i="1"/>
  <c r="C13" i="2"/>
  <c r="D18" i="1"/>
  <c r="C14" i="2"/>
  <c r="D19" i="1"/>
  <c r="C15" i="2"/>
  <c r="D15" i="1"/>
  <c r="C11" i="2"/>
  <c r="B16" i="1"/>
  <c r="B15" i="1"/>
  <c r="B12" i="1"/>
  <c r="G12" i="1"/>
  <c r="D7" i="2"/>
  <c r="F12" i="1"/>
  <c r="D4" i="2"/>
  <c r="E12" i="1"/>
  <c r="C7" i="2"/>
  <c r="D12" i="1"/>
  <c r="C4" i="2"/>
  <c r="C12" i="1"/>
  <c r="B7" i="2"/>
  <c r="B4" i="2"/>
  <c r="K7" i="1"/>
  <c r="L1" i="1"/>
  <c r="L2" i="1"/>
  <c r="L3" i="1"/>
  <c r="L4" i="1"/>
  <c r="L5" i="1"/>
  <c r="L6" i="1"/>
  <c r="L8" i="1"/>
  <c r="D6" i="2"/>
  <c r="H7" i="1"/>
  <c r="G1" i="1"/>
  <c r="G2" i="1"/>
  <c r="G3" i="1"/>
  <c r="G4" i="1"/>
  <c r="G5" i="1"/>
  <c r="G6" i="1"/>
  <c r="G8" i="1"/>
  <c r="K1" i="1"/>
  <c r="K2" i="1"/>
  <c r="K3" i="1"/>
  <c r="K4" i="1"/>
  <c r="K5" i="1"/>
  <c r="K6" i="1"/>
  <c r="K8" i="1"/>
  <c r="D5" i="2"/>
  <c r="H1" i="1"/>
  <c r="H2" i="1"/>
  <c r="H3" i="1"/>
  <c r="H4" i="1"/>
  <c r="H5" i="1"/>
  <c r="H6" i="1"/>
  <c r="H8" i="1"/>
  <c r="C6" i="2"/>
  <c r="C5" i="2"/>
  <c r="D7" i="1"/>
  <c r="D1" i="1"/>
  <c r="D2" i="1"/>
  <c r="D3" i="1"/>
  <c r="D4" i="1"/>
  <c r="D5" i="1"/>
  <c r="D6" i="1"/>
  <c r="D8" i="1"/>
  <c r="B6" i="2"/>
  <c r="C1" i="1"/>
  <c r="C2" i="1"/>
  <c r="C3" i="1"/>
  <c r="C4" i="1"/>
  <c r="C5" i="1"/>
  <c r="C6" i="1"/>
  <c r="C8" i="1"/>
  <c r="B5" i="2"/>
  <c r="E6" i="1"/>
  <c r="I3" i="1"/>
  <c r="I2" i="1"/>
  <c r="J6" i="1"/>
  <c r="J5" i="1"/>
  <c r="J4" i="1"/>
  <c r="I6" i="1"/>
  <c r="I5" i="1"/>
  <c r="I4" i="1"/>
  <c r="E5" i="1"/>
  <c r="E4" i="1"/>
  <c r="E3" i="1"/>
  <c r="E2" i="1"/>
</calcChain>
</file>

<file path=xl/sharedStrings.xml><?xml version="1.0" encoding="utf-8"?>
<sst xmlns="http://schemas.openxmlformats.org/spreadsheetml/2006/main" count="56" uniqueCount="45">
  <si>
    <t>Petite Teinturerie</t>
  </si>
  <si>
    <t>Petit Marché</t>
  </si>
  <si>
    <t>Hacienda</t>
  </si>
  <si>
    <t>Boutique</t>
  </si>
  <si>
    <t>Petit Entrepot</t>
  </si>
  <si>
    <t>Hospice</t>
  </si>
  <si>
    <t>Pension</t>
  </si>
  <si>
    <t>Commerce</t>
  </si>
  <si>
    <t>Église</t>
  </si>
  <si>
    <t>Grand Entrepot</t>
  </si>
  <si>
    <t>Petit Quai</t>
  </si>
  <si>
    <t>Manufacture</t>
  </si>
  <si>
    <t>Université</t>
  </si>
  <si>
    <t>Atelier</t>
  </si>
  <si>
    <t>Bibliothèque</t>
  </si>
  <si>
    <t>Port</t>
  </si>
  <si>
    <t>Quai</t>
  </si>
  <si>
    <t>Chantier</t>
  </si>
  <si>
    <t>Foret</t>
  </si>
  <si>
    <t>Marché noir</t>
  </si>
  <si>
    <t>Comptoir</t>
  </si>
  <si>
    <t>Phare</t>
  </si>
  <si>
    <t>Syndicat</t>
  </si>
  <si>
    <t>Rafinerie Sucre</t>
  </si>
  <si>
    <t>Grand marché</t>
  </si>
  <si>
    <t>Aqueduc</t>
  </si>
  <si>
    <t>Players</t>
  </si>
  <si>
    <t>#1</t>
  </si>
  <si>
    <t>#2</t>
  </si>
  <si>
    <t>#3</t>
  </si>
  <si>
    <t>#4</t>
  </si>
  <si>
    <t>#5</t>
  </si>
  <si>
    <t>Order</t>
  </si>
  <si>
    <t>Quentin</t>
  </si>
  <si>
    <t>Elie</t>
  </si>
  <si>
    <t>Timothée</t>
  </si>
  <si>
    <t>Camille</t>
  </si>
  <si>
    <t>Hotel De Ville</t>
  </si>
  <si>
    <t>Résidence</t>
  </si>
  <si>
    <t>Douane</t>
  </si>
  <si>
    <t>Forteresse</t>
  </si>
  <si>
    <t>Statue</t>
  </si>
  <si>
    <t>Cloitre</t>
  </si>
  <si>
    <t>Jardin Royaux</t>
  </si>
  <si>
    <t>Tiffany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</si>
</sst>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rgb="FF000000"/>
      <name val="Helvetica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3">
    <xf numFmtId="0" fontId="0" fillId="0" borderId="0" xfId="0"/>
    <xf numFmtId="0" fontId="0" fillId="0" borderId="0" xfId="0" applyAlignment="1">
      <alignment horizontal="center" vertical="center" wrapText="1"/>
    </xf>
    <xf numFmtId="0" fontId="3" fillId="0" borderId="0" xfId="0" applyFont="1" applyAlignment="1">
      <alignment horizontal="center" vertical="center"/>
    </xf>
  </cellXfs>
  <cellStyles count="3">
    <cellStyle name="Followed Hyperlink" xfId="2" builtinId="9" hidden="1"/>
    <cellStyle name="Hyperlink" xfId="1" builtinId="8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50800</xdr:colOff>
          <xdr:row>7</xdr:row>
          <xdr:rowOff>38100</xdr:rowOff>
        </xdr:from>
        <xdr:to>
          <xdr:col>3</xdr:col>
          <xdr:colOff>1905000</xdr:colOff>
          <xdr:row>7</xdr:row>
          <xdr:rowOff>812800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New Party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E16"/>
  <sheetViews>
    <sheetView tabSelected="1" topLeftCell="A6" workbookViewId="0">
      <selection activeCell="B15" sqref="B15"/>
    </sheetView>
  </sheetViews>
  <sheetFormatPr baseColWidth="10" defaultColWidth="25.83203125" defaultRowHeight="68" customHeight="1" x14ac:dyDescent="0.2"/>
  <cols>
    <col min="1" max="1" width="4.5" style="2" customWidth="1"/>
    <col min="2" max="16384" width="25.83203125" style="2"/>
  </cols>
  <sheetData>
    <row r="1" spans="1:5" ht="68" customHeight="1" x14ac:dyDescent="0.2">
      <c r="B1" s="2">
        <v>1</v>
      </c>
      <c r="C1" s="2">
        <v>2</v>
      </c>
      <c r="D1" s="2">
        <v>3</v>
      </c>
      <c r="E1" s="2">
        <v>4</v>
      </c>
    </row>
    <row r="2" spans="1:5" ht="68" customHeight="1" x14ac:dyDescent="0.2">
      <c r="B2" s="2" t="s">
        <v>0</v>
      </c>
      <c r="E2" s="2" t="str">
        <f ca="1">IF(Calc!K10&lt;&gt;7,Calc!I10,"")</f>
        <v>Hotel De Ville</v>
      </c>
    </row>
    <row r="3" spans="1:5" ht="68" customHeight="1" x14ac:dyDescent="0.2">
      <c r="B3" s="2" t="s">
        <v>23</v>
      </c>
      <c r="E3" s="2" t="str">
        <f ca="1">IF(Calc!K11&lt;&gt;7,Calc!I11,"")</f>
        <v>Résidence</v>
      </c>
    </row>
    <row r="4" spans="1:5" ht="68" customHeight="1" x14ac:dyDescent="0.2">
      <c r="B4" s="2" t="str">
        <f ca="1">Calc!B12</f>
        <v>Petit Marché</v>
      </c>
      <c r="C4" s="2" t="str">
        <f ca="1">Calc!D12</f>
        <v>Pension</v>
      </c>
      <c r="D4" s="2" t="str">
        <f ca="1">Calc!F12</f>
        <v>Manufacture</v>
      </c>
      <c r="E4" s="2" t="str">
        <f ca="1">IF(Calc!K12&lt;&gt;7,Calc!I12,"")</f>
        <v/>
      </c>
    </row>
    <row r="5" spans="1:5" ht="68" customHeight="1" x14ac:dyDescent="0.2">
      <c r="B5" s="2" t="str">
        <f ca="1">Calc!C8</f>
        <v>Chantier</v>
      </c>
      <c r="C5" s="2" t="str">
        <f ca="1">Calc!G8</f>
        <v>Commerce</v>
      </c>
      <c r="D5" s="2" t="str">
        <f ca="1">Calc!K8</f>
        <v>Bibliothèque</v>
      </c>
      <c r="E5" s="2" t="str">
        <f ca="1">IF(Calc!K13&lt;&gt;7,Calc!I13,"")</f>
        <v>Forteresse</v>
      </c>
    </row>
    <row r="6" spans="1:5" ht="68" customHeight="1" x14ac:dyDescent="0.2">
      <c r="B6" s="2" t="str">
        <f ca="1">Calc!D8</f>
        <v>Hacienda</v>
      </c>
      <c r="C6" s="2" t="str">
        <f ca="1">Calc!H8</f>
        <v>Grand marché</v>
      </c>
      <c r="D6" s="2" t="str">
        <f ca="1">Calc!L8</f>
        <v>Atelier</v>
      </c>
      <c r="E6" s="2" t="str">
        <f ca="1">IF(Calc!K14&lt;&gt;7,Calc!I14,"")</f>
        <v>Statue</v>
      </c>
    </row>
    <row r="7" spans="1:5" ht="68" customHeight="1" x14ac:dyDescent="0.2">
      <c r="B7" s="2" t="str">
        <f ca="1">Calc!C12</f>
        <v>Boutique</v>
      </c>
      <c r="C7" s="2" t="str">
        <f ca="1">Calc!E12</f>
        <v>Petit Quai</v>
      </c>
      <c r="D7" s="2" t="str">
        <f ca="1">Calc!G12</f>
        <v>Quai</v>
      </c>
      <c r="E7" s="2" t="str">
        <f ca="1">IF(Calc!K15&lt;&gt;7,Calc!I15,"")</f>
        <v>Cloitre</v>
      </c>
    </row>
    <row r="8" spans="1:5" ht="68" customHeight="1" x14ac:dyDescent="0.2">
      <c r="E8" s="2" t="str">
        <f ca="1">IF(Calc!K16&lt;&gt;7,Calc!I16,"")</f>
        <v>Jardin Royaux</v>
      </c>
    </row>
    <row r="10" spans="1:5" ht="25" customHeight="1" x14ac:dyDescent="0.2">
      <c r="B10" s="2" t="s">
        <v>26</v>
      </c>
      <c r="C10" s="2" t="s">
        <v>32</v>
      </c>
    </row>
    <row r="11" spans="1:5" ht="25" customHeight="1" x14ac:dyDescent="0.2">
      <c r="A11" s="2" t="s">
        <v>27</v>
      </c>
      <c r="B11" s="2" t="s">
        <v>33</v>
      </c>
      <c r="C11" s="2">
        <f ca="1">Calc!D15</f>
        <v>4</v>
      </c>
    </row>
    <row r="12" spans="1:5" ht="25" customHeight="1" x14ac:dyDescent="0.2">
      <c r="A12" s="2" t="s">
        <v>28</v>
      </c>
      <c r="B12" s="2" t="s">
        <v>34</v>
      </c>
      <c r="C12" s="2">
        <f ca="1">Calc!D16</f>
        <v>3</v>
      </c>
    </row>
    <row r="13" spans="1:5" ht="25" customHeight="1" x14ac:dyDescent="0.2">
      <c r="A13" s="2" t="s">
        <v>29</v>
      </c>
      <c r="B13" s="2" t="s">
        <v>35</v>
      </c>
      <c r="C13" s="2">
        <f ca="1">Calc!D17</f>
        <v>2</v>
      </c>
    </row>
    <row r="14" spans="1:5" ht="25" customHeight="1" x14ac:dyDescent="0.2">
      <c r="A14" s="2" t="s">
        <v>30</v>
      </c>
      <c r="B14" s="2" t="s">
        <v>36</v>
      </c>
      <c r="C14" s="2">
        <f ca="1">Calc!D18</f>
        <v>1</v>
      </c>
    </row>
    <row r="15" spans="1:5" ht="25" customHeight="1" x14ac:dyDescent="0.2">
      <c r="A15" s="2" t="s">
        <v>31</v>
      </c>
      <c r="B15" s="2" t="s">
        <v>44</v>
      </c>
      <c r="C15" s="2">
        <f ca="1">Calc!D19</f>
        <v>5</v>
      </c>
    </row>
    <row r="16" spans="1:5" ht="25" customHeight="1" x14ac:dyDescent="0.2"/>
  </sheetData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autoFill="0" autoPict="0" macro="[0]!Macro2">
                <anchor moveWithCells="1" sizeWithCells="1">
                  <from>
                    <xdr:col>2</xdr:col>
                    <xdr:colOff>50800</xdr:colOff>
                    <xdr:row>7</xdr:row>
                    <xdr:rowOff>38100</xdr:rowOff>
                  </from>
                  <to>
                    <xdr:col>3</xdr:col>
                    <xdr:colOff>1905000</xdr:colOff>
                    <xdr:row>7</xdr:row>
                    <xdr:rowOff>812800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L19"/>
  <sheetViews>
    <sheetView workbookViewId="0">
      <selection activeCell="K14" sqref="K14"/>
    </sheetView>
  </sheetViews>
  <sheetFormatPr baseColWidth="10" defaultColWidth="14" defaultRowHeight="32" customHeight="1" x14ac:dyDescent="0.2"/>
  <cols>
    <col min="1" max="16384" width="14" style="1"/>
  </cols>
  <sheetData>
    <row r="1" spans="1:12" ht="32" customHeight="1" x14ac:dyDescent="0.2">
      <c r="A1" s="1" t="s">
        <v>17</v>
      </c>
      <c r="B1" s="1" t="s">
        <v>18</v>
      </c>
      <c r="C1" s="1" t="str">
        <f ca="1">IF($D$7=1,A1,"")</f>
        <v/>
      </c>
      <c r="D1" s="1" t="str">
        <f ca="1">IF($D$7=1,B1,"")</f>
        <v/>
      </c>
      <c r="E1" s="1" t="s">
        <v>7</v>
      </c>
      <c r="F1" s="1" t="s">
        <v>8</v>
      </c>
      <c r="G1" s="1" t="str">
        <f ca="1">IF($H$7=1,E1,"")</f>
        <v/>
      </c>
      <c r="H1" s="1" t="str">
        <f ca="1">IF($H$7=1,F1,"")</f>
        <v/>
      </c>
      <c r="I1" s="1" t="s">
        <v>12</v>
      </c>
      <c r="J1" s="1" t="s">
        <v>15</v>
      </c>
      <c r="K1" s="1" t="str">
        <f ca="1">IF($K$7=1,I1,"")</f>
        <v/>
      </c>
      <c r="L1" s="1" t="str">
        <f ca="1">IF($K$7=1,J1,"")</f>
        <v/>
      </c>
    </row>
    <row r="2" spans="1:12" ht="32" customHeight="1" x14ac:dyDescent="0.2">
      <c r="A2" s="1" t="s">
        <v>17</v>
      </c>
      <c r="B2" s="1" t="s">
        <v>19</v>
      </c>
      <c r="C2" s="1" t="str">
        <f ca="1">IF($D$7=2,A2,"")</f>
        <v/>
      </c>
      <c r="D2" s="1" t="str">
        <f ca="1">IF($D$7=2,B2,"")</f>
        <v/>
      </c>
      <c r="E2" s="1" t="str">
        <f>E1</f>
        <v>Commerce</v>
      </c>
      <c r="F2" s="1" t="s">
        <v>24</v>
      </c>
      <c r="G2" s="1" t="str">
        <f ca="1">IF($H$7=2,E2,"")</f>
        <v>Commerce</v>
      </c>
      <c r="H2" s="1" t="str">
        <f ca="1">IF($H$7=2,F2,"")</f>
        <v>Grand marché</v>
      </c>
      <c r="I2" s="1" t="str">
        <f>I1</f>
        <v>Université</v>
      </c>
      <c r="J2" s="1" t="s">
        <v>14</v>
      </c>
      <c r="K2" s="1" t="str">
        <f ca="1">IF($K$7=2,I2,"")</f>
        <v/>
      </c>
      <c r="L2" s="1" t="str">
        <f ca="1">IF($K$7=2,J2,"")</f>
        <v/>
      </c>
    </row>
    <row r="3" spans="1:12" ht="32" customHeight="1" x14ac:dyDescent="0.2">
      <c r="A3" s="1" t="s">
        <v>17</v>
      </c>
      <c r="B3" s="1" t="s">
        <v>2</v>
      </c>
      <c r="C3" s="1" t="str">
        <f ca="1">IF($D$7=3,A3,"")</f>
        <v>Chantier</v>
      </c>
      <c r="D3" s="1" t="str">
        <f ca="1">IF($D$7=3,B3,"")</f>
        <v>Hacienda</v>
      </c>
      <c r="E3" s="1" t="str">
        <f>E1</f>
        <v>Commerce</v>
      </c>
      <c r="F3" s="1" t="s">
        <v>20</v>
      </c>
      <c r="G3" s="1" t="str">
        <f ca="1">IF($H$7=3,E3,"")</f>
        <v/>
      </c>
      <c r="H3" s="1" t="str">
        <f ca="1">IF($H$7=3,F3,"")</f>
        <v/>
      </c>
      <c r="I3" s="1" t="str">
        <f>I1</f>
        <v>Université</v>
      </c>
      <c r="J3" s="1" t="s">
        <v>13</v>
      </c>
      <c r="K3" s="1" t="str">
        <f ca="1">IF($K$7=3,I3,"")</f>
        <v/>
      </c>
      <c r="L3" s="1" t="str">
        <f ca="1">IF($K$7=3,J3,"")</f>
        <v/>
      </c>
    </row>
    <row r="4" spans="1:12" ht="32" customHeight="1" x14ac:dyDescent="0.2">
      <c r="A4" s="1" t="s">
        <v>18</v>
      </c>
      <c r="B4" s="1" t="s">
        <v>19</v>
      </c>
      <c r="C4" s="1" t="str">
        <f ca="1">IF($D$7=4,A4,"")</f>
        <v/>
      </c>
      <c r="D4" s="1" t="str">
        <f ca="1">IF($D$7=4,B4,"")</f>
        <v/>
      </c>
      <c r="E4" s="1" t="str">
        <f>F1</f>
        <v>Église</v>
      </c>
      <c r="F4" s="1" t="s">
        <v>24</v>
      </c>
      <c r="G4" s="1" t="str">
        <f ca="1">IF($H$7=4,E4,"")</f>
        <v/>
      </c>
      <c r="H4" s="1" t="str">
        <f ca="1">IF($H$7=4,F4,"")</f>
        <v/>
      </c>
      <c r="I4" s="1" t="str">
        <f>J1</f>
        <v>Port</v>
      </c>
      <c r="J4" s="1" t="str">
        <f>J2</f>
        <v>Bibliothèque</v>
      </c>
      <c r="K4" s="1" t="str">
        <f ca="1">IF($K$7=4,I4,"")</f>
        <v/>
      </c>
      <c r="L4" s="1" t="str">
        <f ca="1">IF($K$7=4,J4,"")</f>
        <v/>
      </c>
    </row>
    <row r="5" spans="1:12" ht="32" customHeight="1" x14ac:dyDescent="0.2">
      <c r="A5" s="1" t="s">
        <v>18</v>
      </c>
      <c r="B5" s="1" t="s">
        <v>2</v>
      </c>
      <c r="C5" s="1" t="str">
        <f ca="1">IF($D$7=5,A5,"")</f>
        <v/>
      </c>
      <c r="D5" s="1" t="str">
        <f ca="1">IF($D$7=5,B5,"")</f>
        <v/>
      </c>
      <c r="E5" s="1" t="str">
        <f>F1</f>
        <v>Église</v>
      </c>
      <c r="F5" s="1" t="s">
        <v>20</v>
      </c>
      <c r="G5" s="1" t="str">
        <f ca="1">IF($H$7=5,E5,"")</f>
        <v/>
      </c>
      <c r="H5" s="1" t="str">
        <f ca="1">IF($H$7=5,F5,"")</f>
        <v/>
      </c>
      <c r="I5" s="1" t="str">
        <f>J1</f>
        <v>Port</v>
      </c>
      <c r="J5" s="1" t="str">
        <f>J3</f>
        <v>Atelier</v>
      </c>
      <c r="K5" s="1" t="str">
        <f ca="1">IF($K$7=5,I5,"")</f>
        <v/>
      </c>
      <c r="L5" s="1" t="str">
        <f ca="1">IF($K$7=5,J5,"")</f>
        <v/>
      </c>
    </row>
    <row r="6" spans="1:12" ht="32" customHeight="1" x14ac:dyDescent="0.2">
      <c r="A6" s="1" t="s">
        <v>19</v>
      </c>
      <c r="B6" s="1" t="s">
        <v>2</v>
      </c>
      <c r="C6" s="1" t="str">
        <f ca="1">IF($D$7=6,A6,"")</f>
        <v/>
      </c>
      <c r="D6" s="1" t="str">
        <f ca="1">IF($D$7=6,B6,"")</f>
        <v/>
      </c>
      <c r="E6" s="1" t="str">
        <f>F2</f>
        <v>Grand marché</v>
      </c>
      <c r="F6" s="1" t="s">
        <v>20</v>
      </c>
      <c r="G6" s="1" t="str">
        <f ca="1">IF($H$7=6,E6,"")</f>
        <v/>
      </c>
      <c r="H6" s="1" t="str">
        <f ca="1">IF($H$7=6,F6,"")</f>
        <v/>
      </c>
      <c r="I6" s="1" t="str">
        <f>J2</f>
        <v>Bibliothèque</v>
      </c>
      <c r="J6" s="1" t="str">
        <f>J3</f>
        <v>Atelier</v>
      </c>
      <c r="K6" s="1" t="str">
        <f ca="1">IF($K$7=6,I6,"")</f>
        <v>Bibliothèque</v>
      </c>
      <c r="L6" s="1" t="str">
        <f ca="1">IF($K$7=6,J6,"")</f>
        <v>Atelier</v>
      </c>
    </row>
    <row r="7" spans="1:12" ht="32" customHeight="1" x14ac:dyDescent="0.2">
      <c r="D7" s="1">
        <f ca="1">RANDBETWEEN(1,6)</f>
        <v>3</v>
      </c>
      <c r="H7" s="1">
        <f t="shared" ref="H7" ca="1" si="0">RANDBETWEEN(1,6)</f>
        <v>2</v>
      </c>
      <c r="K7" s="1">
        <f t="shared" ref="K7" ca="1" si="1">RANDBETWEEN(1,6)</f>
        <v>6</v>
      </c>
    </row>
    <row r="8" spans="1:12" ht="32" customHeight="1" x14ac:dyDescent="0.2">
      <c r="C8" s="1" t="str">
        <f t="shared" ref="C8:D8" ca="1" si="2">CONCATENATE(C1,C2,C3,C4,C5,C6)</f>
        <v>Chantier</v>
      </c>
      <c r="D8" s="1" t="str">
        <f t="shared" ca="1" si="2"/>
        <v>Hacienda</v>
      </c>
      <c r="G8" s="1" t="str">
        <f ca="1">CONCATENATE(G1,G2,G3,G4,G5,G6)</f>
        <v>Commerce</v>
      </c>
      <c r="H8" s="1" t="str">
        <f ca="1">CONCATENATE(H1,H2,H3,H4,H5,H6)</f>
        <v>Grand marché</v>
      </c>
      <c r="K8" s="1" t="str">
        <f t="shared" ref="K8:L8" ca="1" si="3">CONCATENATE(K1,K2,K3,K4,K5,K6)</f>
        <v>Bibliothèque</v>
      </c>
      <c r="L8" s="1" t="str">
        <f t="shared" ca="1" si="3"/>
        <v>Atelier</v>
      </c>
    </row>
    <row r="10" spans="1:12" ht="32" customHeight="1" x14ac:dyDescent="0.2">
      <c r="B10" s="1" t="s">
        <v>1</v>
      </c>
      <c r="C10" s="1" t="s">
        <v>4</v>
      </c>
      <c r="D10" s="1" t="s">
        <v>5</v>
      </c>
      <c r="E10" s="1" t="s">
        <v>9</v>
      </c>
      <c r="F10" s="1" t="s">
        <v>11</v>
      </c>
      <c r="G10" s="1" t="s">
        <v>16</v>
      </c>
      <c r="I10" s="1" t="s">
        <v>37</v>
      </c>
      <c r="J10" s="1">
        <f ca="1">RAND()</f>
        <v>0.55185181694492857</v>
      </c>
      <c r="K10" s="1">
        <f ca="1">RANK(J10,$J$10:$J$16)</f>
        <v>5</v>
      </c>
    </row>
    <row r="11" spans="1:12" ht="32" customHeight="1" x14ac:dyDescent="0.2">
      <c r="B11" s="1" t="s">
        <v>25</v>
      </c>
      <c r="C11" s="1" t="s">
        <v>3</v>
      </c>
      <c r="D11" s="1" t="s">
        <v>6</v>
      </c>
      <c r="E11" s="1" t="s">
        <v>10</v>
      </c>
      <c r="F11" s="1" t="s">
        <v>21</v>
      </c>
      <c r="G11" s="1" t="s">
        <v>22</v>
      </c>
      <c r="I11" s="1" t="s">
        <v>38</v>
      </c>
      <c r="J11" s="1">
        <f t="shared" ref="J11:J16" ca="1" si="4">RAND()</f>
        <v>0.56266680494462118</v>
      </c>
      <c r="K11" s="1">
        <f t="shared" ref="K11:K16" ca="1" si="5">RANK(J11,$J$10:$J$16)</f>
        <v>4</v>
      </c>
    </row>
    <row r="12" spans="1:12" ht="32" customHeight="1" x14ac:dyDescent="0.2">
      <c r="B12" s="1" t="str">
        <f ca="1">IF(RANDBETWEEN(1,2)=1,B10,B11)</f>
        <v>Petit Marché</v>
      </c>
      <c r="C12" s="1" t="str">
        <f t="shared" ref="C12:G12" ca="1" si="6">IF(RANDBETWEEN(1,2)=1,C10,C11)</f>
        <v>Boutique</v>
      </c>
      <c r="D12" s="1" t="str">
        <f t="shared" ca="1" si="6"/>
        <v>Pension</v>
      </c>
      <c r="E12" s="1" t="str">
        <f t="shared" ca="1" si="6"/>
        <v>Petit Quai</v>
      </c>
      <c r="F12" s="1" t="str">
        <f t="shared" ca="1" si="6"/>
        <v>Manufacture</v>
      </c>
      <c r="G12" s="1" t="str">
        <f t="shared" ca="1" si="6"/>
        <v>Quai</v>
      </c>
      <c r="I12" s="1" t="s">
        <v>39</v>
      </c>
      <c r="J12" s="1">
        <f t="shared" ca="1" si="4"/>
        <v>5.209307316635603E-2</v>
      </c>
      <c r="K12" s="1">
        <f t="shared" ca="1" si="5"/>
        <v>7</v>
      </c>
    </row>
    <row r="13" spans="1:12" ht="32" customHeight="1" x14ac:dyDescent="0.2">
      <c r="I13" s="1" t="s">
        <v>40</v>
      </c>
      <c r="J13" s="1">
        <f t="shared" ca="1" si="4"/>
        <v>0.98586723341874993</v>
      </c>
      <c r="K13" s="1">
        <f t="shared" ca="1" si="5"/>
        <v>1</v>
      </c>
    </row>
    <row r="14" spans="1:12" ht="32" customHeight="1" x14ac:dyDescent="0.2">
      <c r="I14" s="1" t="s">
        <v>41</v>
      </c>
      <c r="J14" s="1">
        <f t="shared" ca="1" si="4"/>
        <v>0.67040896120103211</v>
      </c>
      <c r="K14" s="1">
        <f t="shared" ca="1" si="5"/>
        <v>2</v>
      </c>
    </row>
    <row r="15" spans="1:12" ht="32" customHeight="1" x14ac:dyDescent="0.2">
      <c r="B15" s="1" t="str">
        <f>Sheet2!B11</f>
        <v>Quentin</v>
      </c>
      <c r="C15" s="1">
        <f ca="1">IF(B15&lt;&gt;0,RAND(),0)</f>
        <v>0.35329418469909424</v>
      </c>
      <c r="D15" s="1">
        <f ca="1">RANK(C15,$C$15:$C$19)</f>
        <v>4</v>
      </c>
      <c r="I15" s="1" t="s">
        <v>42</v>
      </c>
      <c r="J15" s="1">
        <f t="shared" ca="1" si="4"/>
        <v>0.63694357798651358</v>
      </c>
      <c r="K15" s="1">
        <f t="shared" ca="1" si="5"/>
        <v>3</v>
      </c>
    </row>
    <row r="16" spans="1:12" ht="32" customHeight="1" x14ac:dyDescent="0.2">
      <c r="B16" s="1" t="str">
        <f>Sheet2!B12</f>
        <v>Elie</v>
      </c>
      <c r="C16" s="1">
        <f t="shared" ref="C16:C19" ca="1" si="7">IF(B16&lt;&gt;0,RAND(),0)</f>
        <v>0.55466118573107082</v>
      </c>
      <c r="D16" s="1">
        <f t="shared" ref="D16:D19" ca="1" si="8">RANK(C16,$C$15:$C$19)</f>
        <v>3</v>
      </c>
      <c r="I16" s="1" t="s">
        <v>43</v>
      </c>
      <c r="J16" s="1">
        <f t="shared" ca="1" si="4"/>
        <v>0.40116625618424229</v>
      </c>
      <c r="K16" s="1">
        <f t="shared" ca="1" si="5"/>
        <v>6</v>
      </c>
    </row>
    <row r="17" spans="2:4" ht="32" customHeight="1" x14ac:dyDescent="0.2">
      <c r="B17" s="1" t="str">
        <f>Sheet2!B13</f>
        <v>Timothée</v>
      </c>
      <c r="C17" s="1">
        <f t="shared" ca="1" si="7"/>
        <v>0.83893458891206463</v>
      </c>
      <c r="D17" s="1">
        <f t="shared" ca="1" si="8"/>
        <v>2</v>
      </c>
    </row>
    <row r="18" spans="2:4" ht="32" customHeight="1" x14ac:dyDescent="0.2">
      <c r="B18" s="1" t="str">
        <f>Sheet2!B14</f>
        <v>Camille</v>
      </c>
      <c r="C18" s="1">
        <f t="shared" ca="1" si="7"/>
        <v>0.84754804638805337</v>
      </c>
      <c r="D18" s="1">
        <f t="shared" ca="1" si="8"/>
        <v>1</v>
      </c>
    </row>
    <row r="19" spans="2:4" ht="32" customHeight="1" x14ac:dyDescent="0.2">
      <c r="B19" s="1" t="str">
        <f>Sheet2!B15</f>
        <v>Tiffany</v>
      </c>
      <c r="C19" s="1">
        <f t="shared" ca="1" si="7"/>
        <v>5.5894020694703173E-2</v>
      </c>
      <c r="D19" s="1">
        <f t="shared" ca="1" si="8"/>
        <v>5</v>
      </c>
    </row>
  </sheetData>
  <sortState ref="C15:D19">
    <sortCondition ref="D15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Sheet2</vt:lpstr>
      <vt:lpstr>Calc</vt:lpstr>
    </vt:vector>
  </TitlesOfParts>
  <Manager/>
  <Company/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Microsoft Office User</dc:creator>
  <cp:keywords/>
  <dc:description/>
  <cp:lastModifiedBy>Microsoft Office User</cp:lastModifiedBy>
  <dcterms:created xsi:type="dcterms:W3CDTF">2016-12-23T19:02:24Z</dcterms:created>
  <dcterms:modified xsi:type="dcterms:W3CDTF">2017-07-30T17:34:04Z</dcterms:modified>
  <cp:category/>
</cp:coreProperties>
</file>